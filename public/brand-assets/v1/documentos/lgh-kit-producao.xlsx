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2c6d5d58fdcf3b0/Documentos/ChatGPT/Lucas Gil Henriques/site/public/brand-assets/v1/documentos/"/>
    </mc:Choice>
  </mc:AlternateContent>
  <xr:revisionPtr revIDLastSave="29" documentId="11_DFDB654377173902D6BDB5D0BFFCDD0671B8B2E4" xr6:coauthVersionLast="47" xr6:coauthVersionMax="47" xr10:uidLastSave="{772F7E9B-2619-4F81-AE59-C87B29271608}"/>
  <bookViews>
    <workbookView xWindow="62760" yWindow="1065" windowWidth="20235" windowHeight="12765" xr2:uid="{00000000-000D-0000-FFFF-FFFF00000000}"/>
  </bookViews>
  <sheets>
    <sheet name="Cronograma" sheetId="1" r:id="rId1"/>
    <sheet name="Planos de captação" sheetId="2" r:id="rId2"/>
  </sheets>
  <definedNames>
    <definedName name="_xlnm.Print_Area" localSheetId="0">Cronograma!$B$2:$T$24</definedName>
    <definedName name="_xlnm.Print_Area" localSheetId="1">'Planos de captação'!$B$2:$L$33</definedName>
    <definedName name="_xlnm.Print_Titles" localSheetId="0">Cronograma!$1:$9</definedName>
    <definedName name="_xlnm.Print_Titles" localSheetId="1">'Planos de captação'!$1:$9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G5" i="2"/>
  <c r="D5" i="2"/>
  <c r="T21" i="1"/>
  <c r="S21" i="1"/>
  <c r="R21" i="1"/>
  <c r="Q21" i="1"/>
  <c r="P21" i="1"/>
  <c r="O21" i="1"/>
  <c r="N21" i="1"/>
  <c r="M21" i="1"/>
  <c r="G21" i="1"/>
  <c r="H21" i="1" s="1"/>
  <c r="T20" i="1"/>
  <c r="S20" i="1"/>
  <c r="R20" i="1"/>
  <c r="Q20" i="1"/>
  <c r="P20" i="1"/>
  <c r="O20" i="1"/>
  <c r="N20" i="1"/>
  <c r="M20" i="1"/>
  <c r="G20" i="1"/>
  <c r="H20" i="1" s="1"/>
  <c r="T19" i="1"/>
  <c r="S19" i="1"/>
  <c r="R19" i="1"/>
  <c r="Q19" i="1"/>
  <c r="P19" i="1"/>
  <c r="O19" i="1"/>
  <c r="N19" i="1"/>
  <c r="M19" i="1"/>
  <c r="G19" i="1"/>
  <c r="H19" i="1" s="1"/>
  <c r="T18" i="1"/>
  <c r="S18" i="1"/>
  <c r="R18" i="1"/>
  <c r="Q18" i="1"/>
  <c r="P18" i="1"/>
  <c r="O18" i="1"/>
  <c r="N18" i="1"/>
  <c r="M18" i="1"/>
  <c r="G18" i="1"/>
  <c r="H18" i="1" s="1"/>
  <c r="T17" i="1"/>
  <c r="S17" i="1"/>
  <c r="R17" i="1"/>
  <c r="Q17" i="1"/>
  <c r="P17" i="1"/>
  <c r="O17" i="1"/>
  <c r="N17" i="1"/>
  <c r="M17" i="1"/>
  <c r="G17" i="1"/>
  <c r="H17" i="1" s="1"/>
  <c r="T16" i="1"/>
  <c r="S16" i="1"/>
  <c r="R16" i="1"/>
  <c r="Q16" i="1"/>
  <c r="P16" i="1"/>
  <c r="O16" i="1"/>
  <c r="N16" i="1"/>
  <c r="M16" i="1"/>
  <c r="G16" i="1"/>
  <c r="H16" i="1" s="1"/>
  <c r="T15" i="1"/>
  <c r="S15" i="1"/>
  <c r="R15" i="1"/>
  <c r="Q15" i="1"/>
  <c r="P15" i="1"/>
  <c r="O15" i="1"/>
  <c r="N15" i="1"/>
  <c r="M15" i="1"/>
  <c r="G15" i="1"/>
  <c r="H15" i="1" s="1"/>
  <c r="T14" i="1"/>
  <c r="S14" i="1"/>
  <c r="R14" i="1"/>
  <c r="Q14" i="1"/>
  <c r="P14" i="1"/>
  <c r="O14" i="1"/>
  <c r="N14" i="1"/>
  <c r="M14" i="1"/>
  <c r="G14" i="1"/>
  <c r="H14" i="1" s="1"/>
  <c r="T13" i="1"/>
  <c r="S13" i="1"/>
  <c r="R13" i="1"/>
  <c r="Q13" i="1"/>
  <c r="P13" i="1"/>
  <c r="O13" i="1"/>
  <c r="N13" i="1"/>
  <c r="M13" i="1"/>
  <c r="G13" i="1"/>
  <c r="H13" i="1" s="1"/>
  <c r="T12" i="1"/>
  <c r="S12" i="1"/>
  <c r="R12" i="1"/>
  <c r="Q12" i="1"/>
  <c r="P12" i="1"/>
  <c r="O12" i="1"/>
  <c r="N12" i="1"/>
  <c r="M12" i="1"/>
  <c r="G12" i="1"/>
  <c r="H12" i="1" s="1"/>
  <c r="T11" i="1"/>
  <c r="S11" i="1"/>
  <c r="R11" i="1"/>
  <c r="Q11" i="1"/>
  <c r="P11" i="1"/>
  <c r="O11" i="1"/>
  <c r="N11" i="1"/>
  <c r="M11" i="1"/>
  <c r="G11" i="1"/>
  <c r="H11" i="1" s="1"/>
  <c r="T10" i="1"/>
  <c r="S10" i="1"/>
  <c r="R10" i="1"/>
  <c r="Q10" i="1"/>
  <c r="P10" i="1"/>
  <c r="O10" i="1"/>
  <c r="N10" i="1"/>
  <c r="M10" i="1"/>
  <c r="G10" i="1"/>
  <c r="H10" i="1" s="1"/>
  <c r="J5" i="1"/>
  <c r="H5" i="1" l="1"/>
</calcChain>
</file>

<file path=xl/sharedStrings.xml><?xml version="1.0" encoding="utf-8"?>
<sst xmlns="http://schemas.openxmlformats.org/spreadsheetml/2006/main" count="117" uniqueCount="92">
  <si>
    <t>Cronograma de produção audiovisual</t>
  </si>
  <si>
    <t>Lucas Gil Films  |  Etapas e durações de exemplo, editáveis. Dias corridos.</t>
  </si>
  <si>
    <t>Projeto</t>
  </si>
  <si>
    <t>[Nome do projeto]</t>
  </si>
  <si>
    <t>Data inicial</t>
  </si>
  <si>
    <t>Fim previsto</t>
  </si>
  <si>
    <t>Concluídas</t>
  </si>
  <si>
    <t>de 12 etapas</t>
  </si>
  <si>
    <t>Edite as células amarelas. O calendário acompanha a data inicial e as durações.</t>
  </si>
  <si>
    <t>ID</t>
  </si>
  <si>
    <t>Etapa</t>
  </si>
  <si>
    <t>Responsável</t>
  </si>
  <si>
    <t>Dia inicial</t>
  </si>
  <si>
    <t>Duração dias</t>
  </si>
  <si>
    <t>Início</t>
  </si>
  <si>
    <t>Fim</t>
  </si>
  <si>
    <t>Situação</t>
  </si>
  <si>
    <t>Progresso</t>
  </si>
  <si>
    <t>Entrega / observação</t>
  </si>
  <si>
    <t>S1</t>
  </si>
  <si>
    <t>S2</t>
  </si>
  <si>
    <t>S3</t>
  </si>
  <si>
    <t>S4</t>
  </si>
  <si>
    <t>S5</t>
  </si>
  <si>
    <t>S6</t>
  </si>
  <si>
    <t>S7</t>
  </si>
  <si>
    <t>S8</t>
  </si>
  <si>
    <t>01</t>
  </si>
  <si>
    <t>Briefing</t>
  </si>
  <si>
    <t>Não iniciado</t>
  </si>
  <si>
    <t>Objetivo e referências</t>
  </si>
  <si>
    <t>02</t>
  </si>
  <si>
    <t>Roteiro</t>
  </si>
  <si>
    <t>Roteiro para aprovação</t>
  </si>
  <si>
    <t>03</t>
  </si>
  <si>
    <t>Aprovação do roteiro</t>
  </si>
  <si>
    <t>Retorno consolidado</t>
  </si>
  <si>
    <t>04</t>
  </si>
  <si>
    <t>Pré-produção</t>
  </si>
  <si>
    <t>Locação, equipe e logística</t>
  </si>
  <si>
    <t>05</t>
  </si>
  <si>
    <t>Captação</t>
  </si>
  <si>
    <t>Imagens e áudio</t>
  </si>
  <si>
    <t>06</t>
  </si>
  <si>
    <t>Organização e backup</t>
  </si>
  <si>
    <t>Arquivos conferidos</t>
  </si>
  <si>
    <t>07</t>
  </si>
  <si>
    <t>Montagem</t>
  </si>
  <si>
    <t>Primeiro corte</t>
  </si>
  <si>
    <t>08</t>
  </si>
  <si>
    <t>Cor e som</t>
  </si>
  <si>
    <t>Finalização inicial</t>
  </si>
  <si>
    <t>09</t>
  </si>
  <si>
    <t>Primeira revisão</t>
  </si>
  <si>
    <t>Comentários do cliente</t>
  </si>
  <si>
    <t>10</t>
  </si>
  <si>
    <t>Ajustes</t>
  </si>
  <si>
    <t>Versão revisada</t>
  </si>
  <si>
    <t>11</t>
  </si>
  <si>
    <t>Aprovação final</t>
  </si>
  <si>
    <t>Validação de entrega</t>
  </si>
  <si>
    <t>12</t>
  </si>
  <si>
    <t>Exportação e entrega</t>
  </si>
  <si>
    <t>Arquivos finais</t>
  </si>
  <si>
    <t>Os dias são relativos ao início do projeto. Ajuste as etapas e revise as dependências ao alterar o plano.</t>
  </si>
  <si>
    <t>Lista de planos de captação</t>
  </si>
  <si>
    <t>Lucas Gil Films  |  Registre cada plano e o arquivo correspondente.</t>
  </si>
  <si>
    <t>Planos previstos</t>
  </si>
  <si>
    <t>Gravados</t>
  </si>
  <si>
    <t>Duração total s</t>
  </si>
  <si>
    <t>Preencha uma cena por linha. Duração em segundos. Marque Gravado após conferir imagem e som.</t>
  </si>
  <si>
    <t>Cena / assunto</t>
  </si>
  <si>
    <t>Local</t>
  </si>
  <si>
    <t>Enquadramento</t>
  </si>
  <si>
    <t>Movimento</t>
  </si>
  <si>
    <t>Ação</t>
  </si>
  <si>
    <t>Áudio</t>
  </si>
  <si>
    <t>Duração s</t>
  </si>
  <si>
    <t>Arquivo / take</t>
  </si>
  <si>
    <t>Observação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</si>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</sst>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Dia &quot;0"/>
    <numFmt numFmtId="165" formatCode=";;;"/>
  </numFmts>
  <fonts count="6" x14ac:knownFonts="1">
    <font>
      <sz val="11"/>
      <name val="Carlito"/>
    </font>
    <font>
      <sz val="10"/>
      <color rgb="FF171513"/>
      <name val="Arial"/>
    </font>
    <font>
      <b/>
      <sz val="16"/>
      <color rgb="FF171513"/>
      <name val="Arial"/>
    </font>
    <font>
      <sz val="10"/>
      <color rgb="FF66615B"/>
      <name val="Arial"/>
    </font>
    <font>
      <b/>
      <sz val="10"/>
      <color rgb="FFFFFFFF"/>
      <name val="Arial"/>
    </font>
    <font>
      <sz val="9"/>
      <color rgb="FF66615B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0CE"/>
      </patternFill>
    </fill>
    <fill>
      <patternFill patternType="solid">
        <fgColor rgb="FF171513"/>
      </patternFill>
    </fill>
    <fill>
      <patternFill patternType="solid">
        <fgColor rgb="FFF5F2ED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14" fontId="1" fillId="4" borderId="4" xfId="0" applyNumberFormat="1" applyFont="1" applyFill="1" applyBorder="1" applyAlignment="1">
      <alignment vertical="center"/>
    </xf>
    <xf numFmtId="14" fontId="1" fillId="5" borderId="4" xfId="0" applyNumberFormat="1" applyFont="1" applyFill="1" applyBorder="1" applyAlignment="1">
      <alignment vertical="center"/>
    </xf>
    <xf numFmtId="9" fontId="1" fillId="2" borderId="4" xfId="0" applyNumberFormat="1" applyFont="1" applyFill="1" applyBorder="1" applyAlignment="1">
      <alignment vertical="center"/>
    </xf>
    <xf numFmtId="1" fontId="1" fillId="2" borderId="4" xfId="0" applyNumberFormat="1" applyFont="1" applyFill="1" applyBorder="1" applyAlignment="1">
      <alignment vertical="center"/>
    </xf>
    <xf numFmtId="164" fontId="5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2" borderId="4" xfId="0" applyFont="1" applyFill="1" applyBorder="1" applyAlignment="1">
      <alignment vertical="center" wrapText="1"/>
    </xf>
    <xf numFmtId="1" fontId="1" fillId="2" borderId="4" xfId="0" applyNumberFormat="1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4">
    <dxf>
      <fill>
        <patternFill patternType="solid">
          <bgColor rgb="FFF5D1CB"/>
        </patternFill>
      </fill>
    </dxf>
    <dxf>
      <fill>
        <patternFill patternType="solid">
          <bgColor rgb="FFDDE7D7"/>
        </patternFill>
      </fill>
    </dxf>
    <dxf>
      <fill>
        <patternFill patternType="solid">
          <bgColor rgb="FFFA6404"/>
        </patternFill>
      </fill>
    </dxf>
    <dxf>
      <fill>
        <patternFill patternType="solid">
          <bgColor rgb="FFDDE7D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osCaptacao" displayName="PlanosCaptacao" ref="B9:L33" totalsRowShown="0">
  <autoFilter ref="B9:L33" xr:uid="{00000000-0009-0000-0100-000001000000}"/>
  <tableColumns count="11">
    <tableColumn id="1" xr3:uid="{00000000-0010-0000-0000-000001000000}" name="ID"/>
    <tableColumn id="2" xr3:uid="{00000000-0010-0000-0000-000002000000}" name="Cena / assunto"/>
    <tableColumn id="3" xr3:uid="{00000000-0010-0000-0000-000003000000}" name="Local"/>
    <tableColumn id="4" xr3:uid="{00000000-0010-0000-0000-000004000000}" name="Enquadramento"/>
    <tableColumn id="5" xr3:uid="{00000000-0010-0000-0000-000005000000}" name="Movimento"/>
    <tableColumn id="6" xr3:uid="{00000000-0010-0000-0000-000006000000}" name="Ação"/>
    <tableColumn id="7" xr3:uid="{00000000-0010-0000-0000-000007000000}" name="Áudio"/>
    <tableColumn id="8" xr3:uid="{00000000-0010-0000-0000-000008000000}" name="Duração s"/>
    <tableColumn id="9" xr3:uid="{00000000-0010-0000-0000-000009000000}" name="Situação"/>
    <tableColumn id="10" xr3:uid="{00000000-0010-0000-0000-00000A000000}" name="Arquivo / take"/>
    <tableColumn id="11" xr3:uid="{00000000-0010-0000-0000-00000B000000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A6404"/>
    <pageSetUpPr fitToPage="1"/>
  </sheetPr>
  <dimension ref="A1:T38"/>
  <sheetViews>
    <sheetView showGridLines="0" tabSelected="1"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defaultRowHeight="14.25" x14ac:dyDescent="0.45"/>
  <cols>
    <col min="1" max="1" width="3" customWidth="1"/>
    <col min="2" max="2" width="5" customWidth="1"/>
    <col min="3" max="3" width="29" customWidth="1"/>
    <col min="4" max="4" width="22" customWidth="1"/>
    <col min="5" max="5" width="12" customWidth="1"/>
    <col min="6" max="6" width="13" customWidth="1"/>
    <col min="7" max="8" width="15" customWidth="1"/>
    <col min="9" max="9" width="19" customWidth="1"/>
    <col min="10" max="10" width="12" customWidth="1"/>
    <col min="11" max="11" width="40" customWidth="1"/>
    <col min="12" max="12" width="3" customWidth="1"/>
    <col min="13" max="20" width="7" customWidth="1"/>
  </cols>
  <sheetData>
    <row r="1" spans="1:20" ht="25.0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5.05" customHeight="1" x14ac:dyDescent="0.4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5.05" customHeight="1" x14ac:dyDescent="0.45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5.05" customHeight="1" x14ac:dyDescent="0.45">
      <c r="A4" s="1"/>
      <c r="B4" s="20" t="s">
        <v>2</v>
      </c>
      <c r="C4" s="20"/>
      <c r="D4" s="21" t="s">
        <v>3</v>
      </c>
      <c r="E4" s="21"/>
      <c r="F4" s="2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5.05" customHeight="1" x14ac:dyDescent="0.45">
      <c r="A5" s="1"/>
      <c r="B5" s="1"/>
      <c r="C5" s="1"/>
      <c r="D5" s="1" t="s">
        <v>4</v>
      </c>
      <c r="E5" s="5"/>
      <c r="F5" s="1"/>
      <c r="G5" s="1" t="s">
        <v>5</v>
      </c>
      <c r="H5" s="4" t="str">
        <f>IF(E5="","",MAX(H10:H21))</f>
        <v/>
      </c>
      <c r="I5" s="1" t="s">
        <v>6</v>
      </c>
      <c r="J5" s="1">
        <f>COUNTIF(I10:I21,"Concluído")</f>
        <v>0</v>
      </c>
      <c r="K5" s="1" t="s">
        <v>7</v>
      </c>
      <c r="L5" s="1"/>
      <c r="M5" s="1"/>
      <c r="N5" s="1"/>
      <c r="O5" s="1"/>
      <c r="P5" s="1"/>
      <c r="Q5" s="1"/>
      <c r="R5" s="1"/>
      <c r="S5" s="1"/>
      <c r="T5" s="1"/>
    </row>
    <row r="6" spans="1:20" ht="25.05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5.05" customHeight="1" x14ac:dyDescent="0.45">
      <c r="A7" s="1"/>
      <c r="B7" s="3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25.05" customHeight="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6">
        <v>1</v>
      </c>
      <c r="N8" s="16">
        <v>8</v>
      </c>
      <c r="O8" s="16">
        <v>15</v>
      </c>
      <c r="P8" s="16">
        <v>22</v>
      </c>
      <c r="Q8" s="16">
        <v>29</v>
      </c>
      <c r="R8" s="16">
        <v>36</v>
      </c>
      <c r="S8" s="16">
        <v>43</v>
      </c>
      <c r="T8" s="16">
        <v>50</v>
      </c>
    </row>
    <row r="9" spans="1:20" ht="38" customHeight="1" x14ac:dyDescent="0.45">
      <c r="A9" s="1"/>
      <c r="B9" s="6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  <c r="I9" s="7" t="s">
        <v>16</v>
      </c>
      <c r="J9" s="7" t="s">
        <v>17</v>
      </c>
      <c r="K9" s="8" t="s">
        <v>18</v>
      </c>
      <c r="L9" s="1"/>
      <c r="M9" s="6" t="s">
        <v>19</v>
      </c>
      <c r="N9" s="7" t="s">
        <v>20</v>
      </c>
      <c r="O9" s="7" t="s">
        <v>21</v>
      </c>
      <c r="P9" s="7" t="s">
        <v>22</v>
      </c>
      <c r="Q9" s="7" t="s">
        <v>23</v>
      </c>
      <c r="R9" s="7" t="s">
        <v>24</v>
      </c>
      <c r="S9" s="7" t="s">
        <v>25</v>
      </c>
      <c r="T9" s="8" t="s">
        <v>26</v>
      </c>
    </row>
    <row r="10" spans="1:20" ht="35" customHeight="1" x14ac:dyDescent="0.45">
      <c r="A10" s="1"/>
      <c r="B10" s="9" t="s">
        <v>27</v>
      </c>
      <c r="C10" s="9" t="s">
        <v>28</v>
      </c>
      <c r="D10" s="10"/>
      <c r="E10" s="15">
        <v>1</v>
      </c>
      <c r="F10" s="15">
        <v>1</v>
      </c>
      <c r="G10" s="12" t="str">
        <f t="shared" ref="G10:G21" si="0">IF($E$5="","",$E$5+E10-1)</f>
        <v/>
      </c>
      <c r="H10" s="12" t="str">
        <f t="shared" ref="H10:H21" si="1">IF(G10="","",G10+F10-1)</f>
        <v/>
      </c>
      <c r="I10" s="10" t="s">
        <v>29</v>
      </c>
      <c r="J10" s="14">
        <v>0</v>
      </c>
      <c r="K10" s="18" t="s">
        <v>30</v>
      </c>
      <c r="L10" s="1"/>
      <c r="M10" s="17">
        <f t="shared" ref="M10:T21" si="2">IF(AND($E10&lt;=M$8+6,$E10+$F10-1&gt;=M$8),1,"")</f>
        <v>1</v>
      </c>
      <c r="N10" s="17" t="str">
        <f t="shared" si="2"/>
        <v/>
      </c>
      <c r="O10" s="17" t="str">
        <f t="shared" si="2"/>
        <v/>
      </c>
      <c r="P10" s="17" t="str">
        <f t="shared" si="2"/>
        <v/>
      </c>
      <c r="Q10" s="17" t="str">
        <f t="shared" si="2"/>
        <v/>
      </c>
      <c r="R10" s="17" t="str">
        <f t="shared" si="2"/>
        <v/>
      </c>
      <c r="S10" s="17" t="str">
        <f t="shared" si="2"/>
        <v/>
      </c>
      <c r="T10" s="17" t="str">
        <f t="shared" si="2"/>
        <v/>
      </c>
    </row>
    <row r="11" spans="1:20" ht="35" customHeight="1" x14ac:dyDescent="0.45">
      <c r="A11" s="1"/>
      <c r="B11" s="11" t="s">
        <v>31</v>
      </c>
      <c r="C11" s="11" t="s">
        <v>32</v>
      </c>
      <c r="D11" s="10"/>
      <c r="E11" s="15">
        <v>2</v>
      </c>
      <c r="F11" s="15">
        <v>3</v>
      </c>
      <c r="G11" s="13" t="str">
        <f t="shared" si="0"/>
        <v/>
      </c>
      <c r="H11" s="13" t="str">
        <f t="shared" si="1"/>
        <v/>
      </c>
      <c r="I11" s="10" t="s">
        <v>29</v>
      </c>
      <c r="J11" s="14">
        <v>0</v>
      </c>
      <c r="K11" s="18" t="s">
        <v>33</v>
      </c>
      <c r="L11" s="1"/>
      <c r="M11" s="17">
        <f t="shared" si="2"/>
        <v>1</v>
      </c>
      <c r="N11" s="17" t="str">
        <f t="shared" si="2"/>
        <v/>
      </c>
      <c r="O11" s="17" t="str">
        <f t="shared" si="2"/>
        <v/>
      </c>
      <c r="P11" s="17" t="str">
        <f t="shared" si="2"/>
        <v/>
      </c>
      <c r="Q11" s="17" t="str">
        <f t="shared" si="2"/>
        <v/>
      </c>
      <c r="R11" s="17" t="str">
        <f t="shared" si="2"/>
        <v/>
      </c>
      <c r="S11" s="17" t="str">
        <f t="shared" si="2"/>
        <v/>
      </c>
      <c r="T11" s="17" t="str">
        <f t="shared" si="2"/>
        <v/>
      </c>
    </row>
    <row r="12" spans="1:20" ht="35" customHeight="1" x14ac:dyDescent="0.45">
      <c r="A12" s="1"/>
      <c r="B12" s="9" t="s">
        <v>34</v>
      </c>
      <c r="C12" s="9" t="s">
        <v>35</v>
      </c>
      <c r="D12" s="10"/>
      <c r="E12" s="15">
        <v>5</v>
      </c>
      <c r="F12" s="15">
        <v>1</v>
      </c>
      <c r="G12" s="12" t="str">
        <f t="shared" si="0"/>
        <v/>
      </c>
      <c r="H12" s="12" t="str">
        <f t="shared" si="1"/>
        <v/>
      </c>
      <c r="I12" s="10" t="s">
        <v>29</v>
      </c>
      <c r="J12" s="14">
        <v>0</v>
      </c>
      <c r="K12" s="18" t="s">
        <v>36</v>
      </c>
      <c r="L12" s="1"/>
      <c r="M12" s="17">
        <f t="shared" si="2"/>
        <v>1</v>
      </c>
      <c r="N12" s="17" t="str">
        <f t="shared" si="2"/>
        <v/>
      </c>
      <c r="O12" s="17" t="str">
        <f t="shared" si="2"/>
        <v/>
      </c>
      <c r="P12" s="17" t="str">
        <f t="shared" si="2"/>
        <v/>
      </c>
      <c r="Q12" s="17" t="str">
        <f t="shared" si="2"/>
        <v/>
      </c>
      <c r="R12" s="17" t="str">
        <f t="shared" si="2"/>
        <v/>
      </c>
      <c r="S12" s="17" t="str">
        <f t="shared" si="2"/>
        <v/>
      </c>
      <c r="T12" s="17" t="str">
        <f t="shared" si="2"/>
        <v/>
      </c>
    </row>
    <row r="13" spans="1:20" ht="35" customHeight="1" x14ac:dyDescent="0.45">
      <c r="A13" s="1"/>
      <c r="B13" s="11" t="s">
        <v>37</v>
      </c>
      <c r="C13" s="11" t="s">
        <v>38</v>
      </c>
      <c r="D13" s="10"/>
      <c r="E13" s="15">
        <v>6</v>
      </c>
      <c r="F13" s="15">
        <v>2</v>
      </c>
      <c r="G13" s="13" t="str">
        <f t="shared" si="0"/>
        <v/>
      </c>
      <c r="H13" s="13" t="str">
        <f t="shared" si="1"/>
        <v/>
      </c>
      <c r="I13" s="10" t="s">
        <v>29</v>
      </c>
      <c r="J13" s="14">
        <v>0</v>
      </c>
      <c r="K13" s="18" t="s">
        <v>39</v>
      </c>
      <c r="L13" s="1"/>
      <c r="M13" s="17">
        <f t="shared" si="2"/>
        <v>1</v>
      </c>
      <c r="N13" s="17" t="str">
        <f t="shared" si="2"/>
        <v/>
      </c>
      <c r="O13" s="17" t="str">
        <f t="shared" si="2"/>
        <v/>
      </c>
      <c r="P13" s="17" t="str">
        <f t="shared" si="2"/>
        <v/>
      </c>
      <c r="Q13" s="17" t="str">
        <f t="shared" si="2"/>
        <v/>
      </c>
      <c r="R13" s="17" t="str">
        <f t="shared" si="2"/>
        <v/>
      </c>
      <c r="S13" s="17" t="str">
        <f t="shared" si="2"/>
        <v/>
      </c>
      <c r="T13" s="17" t="str">
        <f t="shared" si="2"/>
        <v/>
      </c>
    </row>
    <row r="14" spans="1:20" ht="35" customHeight="1" x14ac:dyDescent="0.45">
      <c r="A14" s="1"/>
      <c r="B14" s="9" t="s">
        <v>40</v>
      </c>
      <c r="C14" s="9" t="s">
        <v>41</v>
      </c>
      <c r="D14" s="10"/>
      <c r="E14" s="15">
        <v>8</v>
      </c>
      <c r="F14" s="15">
        <v>1</v>
      </c>
      <c r="G14" s="12" t="str">
        <f t="shared" si="0"/>
        <v/>
      </c>
      <c r="H14" s="12" t="str">
        <f t="shared" si="1"/>
        <v/>
      </c>
      <c r="I14" s="10" t="s">
        <v>29</v>
      </c>
      <c r="J14" s="14">
        <v>0</v>
      </c>
      <c r="K14" s="18" t="s">
        <v>42</v>
      </c>
      <c r="L14" s="1"/>
      <c r="M14" s="17" t="str">
        <f t="shared" si="2"/>
        <v/>
      </c>
      <c r="N14" s="17">
        <f t="shared" si="2"/>
        <v>1</v>
      </c>
      <c r="O14" s="17" t="str">
        <f t="shared" si="2"/>
        <v/>
      </c>
      <c r="P14" s="17" t="str">
        <f t="shared" si="2"/>
        <v/>
      </c>
      <c r="Q14" s="17" t="str">
        <f t="shared" si="2"/>
        <v/>
      </c>
      <c r="R14" s="17" t="str">
        <f t="shared" si="2"/>
        <v/>
      </c>
      <c r="S14" s="17" t="str">
        <f t="shared" si="2"/>
        <v/>
      </c>
      <c r="T14" s="17" t="str">
        <f t="shared" si="2"/>
        <v/>
      </c>
    </row>
    <row r="15" spans="1:20" ht="35" customHeight="1" x14ac:dyDescent="0.45">
      <c r="A15" s="1"/>
      <c r="B15" s="11" t="s">
        <v>43</v>
      </c>
      <c r="C15" s="11" t="s">
        <v>44</v>
      </c>
      <c r="D15" s="10"/>
      <c r="E15" s="15">
        <v>9</v>
      </c>
      <c r="F15" s="15">
        <v>1</v>
      </c>
      <c r="G15" s="13" t="str">
        <f t="shared" si="0"/>
        <v/>
      </c>
      <c r="H15" s="13" t="str">
        <f t="shared" si="1"/>
        <v/>
      </c>
      <c r="I15" s="10" t="s">
        <v>29</v>
      </c>
      <c r="J15" s="14">
        <v>0</v>
      </c>
      <c r="K15" s="18" t="s">
        <v>45</v>
      </c>
      <c r="L15" s="1"/>
      <c r="M15" s="17" t="str">
        <f t="shared" si="2"/>
        <v/>
      </c>
      <c r="N15" s="17">
        <f t="shared" si="2"/>
        <v>1</v>
      </c>
      <c r="O15" s="17" t="str">
        <f t="shared" si="2"/>
        <v/>
      </c>
      <c r="P15" s="17" t="str">
        <f t="shared" si="2"/>
        <v/>
      </c>
      <c r="Q15" s="17" t="str">
        <f t="shared" si="2"/>
        <v/>
      </c>
      <c r="R15" s="17" t="str">
        <f t="shared" si="2"/>
        <v/>
      </c>
      <c r="S15" s="17" t="str">
        <f t="shared" si="2"/>
        <v/>
      </c>
      <c r="T15" s="17" t="str">
        <f t="shared" si="2"/>
        <v/>
      </c>
    </row>
    <row r="16" spans="1:20" ht="35" customHeight="1" x14ac:dyDescent="0.45">
      <c r="A16" s="1"/>
      <c r="B16" s="9" t="s">
        <v>46</v>
      </c>
      <c r="C16" s="9" t="s">
        <v>47</v>
      </c>
      <c r="D16" s="10"/>
      <c r="E16" s="15">
        <v>10</v>
      </c>
      <c r="F16" s="15">
        <v>4</v>
      </c>
      <c r="G16" s="12" t="str">
        <f t="shared" si="0"/>
        <v/>
      </c>
      <c r="H16" s="12" t="str">
        <f t="shared" si="1"/>
        <v/>
      </c>
      <c r="I16" s="10" t="s">
        <v>29</v>
      </c>
      <c r="J16" s="14">
        <v>0</v>
      </c>
      <c r="K16" s="18" t="s">
        <v>48</v>
      </c>
      <c r="L16" s="1"/>
      <c r="M16" s="17" t="str">
        <f t="shared" si="2"/>
        <v/>
      </c>
      <c r="N16" s="17">
        <f t="shared" si="2"/>
        <v>1</v>
      </c>
      <c r="O16" s="17" t="str">
        <f t="shared" si="2"/>
        <v/>
      </c>
      <c r="P16" s="17" t="str">
        <f t="shared" si="2"/>
        <v/>
      </c>
      <c r="Q16" s="17" t="str">
        <f t="shared" si="2"/>
        <v/>
      </c>
      <c r="R16" s="17" t="str">
        <f t="shared" si="2"/>
        <v/>
      </c>
      <c r="S16" s="17" t="str">
        <f t="shared" si="2"/>
        <v/>
      </c>
      <c r="T16" s="17" t="str">
        <f t="shared" si="2"/>
        <v/>
      </c>
    </row>
    <row r="17" spans="1:20" ht="35" customHeight="1" x14ac:dyDescent="0.45">
      <c r="A17" s="1"/>
      <c r="B17" s="11" t="s">
        <v>49</v>
      </c>
      <c r="C17" s="11" t="s">
        <v>50</v>
      </c>
      <c r="D17" s="10"/>
      <c r="E17" s="15">
        <v>14</v>
      </c>
      <c r="F17" s="15">
        <v>2</v>
      </c>
      <c r="G17" s="13" t="str">
        <f t="shared" si="0"/>
        <v/>
      </c>
      <c r="H17" s="13" t="str">
        <f t="shared" si="1"/>
        <v/>
      </c>
      <c r="I17" s="10" t="s">
        <v>29</v>
      </c>
      <c r="J17" s="14">
        <v>0</v>
      </c>
      <c r="K17" s="18" t="s">
        <v>51</v>
      </c>
      <c r="L17" s="1"/>
      <c r="M17" s="17" t="str">
        <f t="shared" si="2"/>
        <v/>
      </c>
      <c r="N17" s="17">
        <f t="shared" si="2"/>
        <v>1</v>
      </c>
      <c r="O17" s="17">
        <f t="shared" si="2"/>
        <v>1</v>
      </c>
      <c r="P17" s="17" t="str">
        <f t="shared" si="2"/>
        <v/>
      </c>
      <c r="Q17" s="17" t="str">
        <f t="shared" si="2"/>
        <v/>
      </c>
      <c r="R17" s="17" t="str">
        <f t="shared" si="2"/>
        <v/>
      </c>
      <c r="S17" s="17" t="str">
        <f t="shared" si="2"/>
        <v/>
      </c>
      <c r="T17" s="17" t="str">
        <f t="shared" si="2"/>
        <v/>
      </c>
    </row>
    <row r="18" spans="1:20" ht="35" customHeight="1" x14ac:dyDescent="0.45">
      <c r="A18" s="1"/>
      <c r="B18" s="9" t="s">
        <v>52</v>
      </c>
      <c r="C18" s="9" t="s">
        <v>53</v>
      </c>
      <c r="D18" s="10"/>
      <c r="E18" s="15">
        <v>16</v>
      </c>
      <c r="F18" s="15">
        <v>2</v>
      </c>
      <c r="G18" s="12" t="str">
        <f t="shared" si="0"/>
        <v/>
      </c>
      <c r="H18" s="12" t="str">
        <f t="shared" si="1"/>
        <v/>
      </c>
      <c r="I18" s="10" t="s">
        <v>29</v>
      </c>
      <c r="J18" s="14">
        <v>0</v>
      </c>
      <c r="K18" s="18" t="s">
        <v>54</v>
      </c>
      <c r="L18" s="1"/>
      <c r="M18" s="17" t="str">
        <f t="shared" si="2"/>
        <v/>
      </c>
      <c r="N18" s="17" t="str">
        <f t="shared" si="2"/>
        <v/>
      </c>
      <c r="O18" s="17">
        <f t="shared" si="2"/>
        <v>1</v>
      </c>
      <c r="P18" s="17" t="str">
        <f t="shared" si="2"/>
        <v/>
      </c>
      <c r="Q18" s="17" t="str">
        <f t="shared" si="2"/>
        <v/>
      </c>
      <c r="R18" s="17" t="str">
        <f t="shared" si="2"/>
        <v/>
      </c>
      <c r="S18" s="17" t="str">
        <f t="shared" si="2"/>
        <v/>
      </c>
      <c r="T18" s="17" t="str">
        <f t="shared" si="2"/>
        <v/>
      </c>
    </row>
    <row r="19" spans="1:20" ht="35" customHeight="1" x14ac:dyDescent="0.45">
      <c r="A19" s="1"/>
      <c r="B19" s="11" t="s">
        <v>55</v>
      </c>
      <c r="C19" s="11" t="s">
        <v>56</v>
      </c>
      <c r="D19" s="10"/>
      <c r="E19" s="15">
        <v>18</v>
      </c>
      <c r="F19" s="15">
        <v>2</v>
      </c>
      <c r="G19" s="13" t="str">
        <f t="shared" si="0"/>
        <v/>
      </c>
      <c r="H19" s="13" t="str">
        <f t="shared" si="1"/>
        <v/>
      </c>
      <c r="I19" s="10" t="s">
        <v>29</v>
      </c>
      <c r="J19" s="14">
        <v>0</v>
      </c>
      <c r="K19" s="18" t="s">
        <v>57</v>
      </c>
      <c r="L19" s="1"/>
      <c r="M19" s="17" t="str">
        <f t="shared" si="2"/>
        <v/>
      </c>
      <c r="N19" s="17" t="str">
        <f t="shared" si="2"/>
        <v/>
      </c>
      <c r="O19" s="17">
        <f t="shared" si="2"/>
        <v>1</v>
      </c>
      <c r="P19" s="17" t="str">
        <f t="shared" si="2"/>
        <v/>
      </c>
      <c r="Q19" s="17" t="str">
        <f t="shared" si="2"/>
        <v/>
      </c>
      <c r="R19" s="17" t="str">
        <f t="shared" si="2"/>
        <v/>
      </c>
      <c r="S19" s="17" t="str">
        <f t="shared" si="2"/>
        <v/>
      </c>
      <c r="T19" s="17" t="str">
        <f t="shared" si="2"/>
        <v/>
      </c>
    </row>
    <row r="20" spans="1:20" ht="35" customHeight="1" x14ac:dyDescent="0.45">
      <c r="A20" s="1"/>
      <c r="B20" s="9" t="s">
        <v>58</v>
      </c>
      <c r="C20" s="9" t="s">
        <v>59</v>
      </c>
      <c r="D20" s="10"/>
      <c r="E20" s="15">
        <v>20</v>
      </c>
      <c r="F20" s="15">
        <v>1</v>
      </c>
      <c r="G20" s="12" t="str">
        <f t="shared" si="0"/>
        <v/>
      </c>
      <c r="H20" s="12" t="str">
        <f t="shared" si="1"/>
        <v/>
      </c>
      <c r="I20" s="10" t="s">
        <v>29</v>
      </c>
      <c r="J20" s="14">
        <v>0</v>
      </c>
      <c r="K20" s="18" t="s">
        <v>60</v>
      </c>
      <c r="L20" s="1"/>
      <c r="M20" s="17" t="str">
        <f t="shared" si="2"/>
        <v/>
      </c>
      <c r="N20" s="17" t="str">
        <f t="shared" si="2"/>
        <v/>
      </c>
      <c r="O20" s="17">
        <f t="shared" si="2"/>
        <v>1</v>
      </c>
      <c r="P20" s="17" t="str">
        <f t="shared" si="2"/>
        <v/>
      </c>
      <c r="Q20" s="17" t="str">
        <f t="shared" si="2"/>
        <v/>
      </c>
      <c r="R20" s="17" t="str">
        <f t="shared" si="2"/>
        <v/>
      </c>
      <c r="S20" s="17" t="str">
        <f t="shared" si="2"/>
        <v/>
      </c>
      <c r="T20" s="17" t="str">
        <f t="shared" si="2"/>
        <v/>
      </c>
    </row>
    <row r="21" spans="1:20" ht="35" customHeight="1" x14ac:dyDescent="0.45">
      <c r="A21" s="1"/>
      <c r="B21" s="11" t="s">
        <v>61</v>
      </c>
      <c r="C21" s="11" t="s">
        <v>62</v>
      </c>
      <c r="D21" s="10"/>
      <c r="E21" s="15">
        <v>21</v>
      </c>
      <c r="F21" s="15">
        <v>1</v>
      </c>
      <c r="G21" s="13" t="str">
        <f t="shared" si="0"/>
        <v/>
      </c>
      <c r="H21" s="13" t="str">
        <f t="shared" si="1"/>
        <v/>
      </c>
      <c r="I21" s="10" t="s">
        <v>29</v>
      </c>
      <c r="J21" s="14">
        <v>0</v>
      </c>
      <c r="K21" s="18" t="s">
        <v>63</v>
      </c>
      <c r="L21" s="1"/>
      <c r="M21" s="17" t="str">
        <f t="shared" si="2"/>
        <v/>
      </c>
      <c r="N21" s="17" t="str">
        <f t="shared" si="2"/>
        <v/>
      </c>
      <c r="O21" s="17">
        <f t="shared" si="2"/>
        <v>1</v>
      </c>
      <c r="P21" s="17" t="str">
        <f t="shared" si="2"/>
        <v/>
      </c>
      <c r="Q21" s="17" t="str">
        <f t="shared" si="2"/>
        <v/>
      </c>
      <c r="R21" s="17" t="str">
        <f t="shared" si="2"/>
        <v/>
      </c>
      <c r="S21" s="17" t="str">
        <f t="shared" si="2"/>
        <v/>
      </c>
      <c r="T21" s="17" t="str">
        <f t="shared" si="2"/>
        <v/>
      </c>
    </row>
    <row r="22" spans="1:20" ht="25.05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25.0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25.05" customHeight="1" x14ac:dyDescent="0.45">
      <c r="A24" s="1"/>
      <c r="B24" s="1" t="s">
        <v>64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25.05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25.05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25.05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25.05" customHeight="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25.05" customHeight="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25.05" customHeight="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25.05" customHeight="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25.05" customHeight="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25.05" customHeight="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25.05" customHeigh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25.05" customHeight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25.05" customHeigh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25.05" customHeight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25.05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</sheetData>
  <mergeCells count="2">
    <mergeCell ref="B4:C4"/>
    <mergeCell ref="D4:F4"/>
  </mergeCells>
  <conditionalFormatting sqref="I10:I21">
    <cfRule type="containsText" dxfId="3" priority="1" operator="containsText" text="Concluído"/>
  </conditionalFormatting>
  <conditionalFormatting sqref="M10:T21">
    <cfRule type="cellIs" dxfId="2" priority="2" operator="equal">
      <formula>1</formula>
    </cfRule>
  </conditionalFormatting>
  <dataValidations count="3">
    <dataValidation type="list" sqref="I10:I21" xr:uid="{00000000-0002-0000-0000-000000000000}">
      <formula1>"Não iniciado,Em andamento,Em revisão,Concluído,Em espera"</formula1>
    </dataValidation>
    <dataValidation type="decimal" sqref="J10:J21" xr:uid="{00000000-0002-0000-0000-000001000000}">
      <formula1>0</formula1>
      <formula2>1</formula2>
    </dataValidation>
    <dataValidation type="whole" sqref="E10:F21" xr:uid="{00000000-0002-0000-0000-000002000000}">
      <formula1>1</formula1>
      <formula2>365</formula2>
    </dataValidation>
  </dataValidations>
  <printOptions horizontalCentered="1"/>
  <pageMargins left="0.25" right="0.25" top="0.34722222222222221" bottom="0.34722222222222221" header="0.3" footer="0.3"/>
  <pageSetup paperSize="8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A6404"/>
    <pageSetUpPr fitToPage="1"/>
  </sheetPr>
  <dimension ref="A1:L38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defaultRowHeight="14.25" x14ac:dyDescent="0.45"/>
  <cols>
    <col min="1" max="1" width="3" customWidth="1"/>
    <col min="2" max="2" width="7" customWidth="1"/>
    <col min="3" max="3" width="31" customWidth="1"/>
    <col min="4" max="4" width="24" customWidth="1"/>
    <col min="5" max="6" width="23" customWidth="1"/>
    <col min="7" max="7" width="40" customWidth="1"/>
    <col min="8" max="8" width="26" customWidth="1"/>
    <col min="9" max="9" width="15" customWidth="1"/>
    <col min="10" max="10" width="20" customWidth="1"/>
    <col min="11" max="11" width="26" customWidth="1"/>
    <col min="12" max="12" width="35" customWidth="1"/>
  </cols>
  <sheetData>
    <row r="1" spans="1:12" ht="25.0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5.05" customHeight="1" x14ac:dyDescent="0.45">
      <c r="A2" s="1"/>
      <c r="B2" s="2" t="s">
        <v>65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5.05" customHeight="1" x14ac:dyDescent="0.45">
      <c r="A3" s="1"/>
      <c r="B3" s="3" t="s">
        <v>66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5.05" customHeigh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5.05" customHeight="1" x14ac:dyDescent="0.45">
      <c r="A5" s="1"/>
      <c r="B5" s="1" t="s">
        <v>67</v>
      </c>
      <c r="C5" s="1"/>
      <c r="D5" s="1">
        <f>COUNTA(C10:C33)</f>
        <v>0</v>
      </c>
      <c r="E5" s="1"/>
      <c r="F5" s="1" t="s">
        <v>68</v>
      </c>
      <c r="G5" s="1">
        <f>COUNTIFS(C10:C33,"&lt;&gt;",J10:J33,"Gravado")</f>
        <v>0</v>
      </c>
      <c r="H5" s="1"/>
      <c r="I5" s="1" t="s">
        <v>69</v>
      </c>
      <c r="J5" s="1"/>
      <c r="K5" s="1" t="str">
        <f>IF(COUNTA(C10:C33)=0,"",SUM(I10:I33))</f>
        <v/>
      </c>
      <c r="L5" s="1"/>
    </row>
    <row r="6" spans="1:12" ht="25.05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5.05" customHeight="1" x14ac:dyDescent="0.45">
      <c r="A7" s="1"/>
      <c r="B7" s="3" t="s">
        <v>70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5.05" customHeight="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38" customHeight="1" x14ac:dyDescent="0.45">
      <c r="A9" s="1"/>
      <c r="B9" s="6" t="s">
        <v>9</v>
      </c>
      <c r="C9" s="7" t="s">
        <v>71</v>
      </c>
      <c r="D9" s="7" t="s">
        <v>72</v>
      </c>
      <c r="E9" s="7" t="s">
        <v>73</v>
      </c>
      <c r="F9" s="7" t="s">
        <v>74</v>
      </c>
      <c r="G9" s="7" t="s">
        <v>75</v>
      </c>
      <c r="H9" s="7" t="s">
        <v>76</v>
      </c>
      <c r="I9" s="7" t="s">
        <v>77</v>
      </c>
      <c r="J9" s="7" t="s">
        <v>16</v>
      </c>
      <c r="K9" s="7" t="s">
        <v>78</v>
      </c>
      <c r="L9" s="8" t="s">
        <v>79</v>
      </c>
    </row>
    <row r="10" spans="1:12" ht="39" customHeight="1" x14ac:dyDescent="0.45">
      <c r="A10" s="1"/>
      <c r="B10" s="9" t="s">
        <v>27</v>
      </c>
      <c r="C10" s="18"/>
      <c r="D10" s="18"/>
      <c r="E10" s="18"/>
      <c r="F10" s="18"/>
      <c r="G10" s="18"/>
      <c r="H10" s="18"/>
      <c r="I10" s="19"/>
      <c r="J10" s="18"/>
      <c r="K10" s="18"/>
      <c r="L10" s="18"/>
    </row>
    <row r="11" spans="1:12" ht="39" customHeight="1" x14ac:dyDescent="0.45">
      <c r="A11" s="1"/>
      <c r="B11" s="11" t="s">
        <v>31</v>
      </c>
      <c r="C11" s="18"/>
      <c r="D11" s="18"/>
      <c r="E11" s="18"/>
      <c r="F11" s="18"/>
      <c r="G11" s="18"/>
      <c r="H11" s="18"/>
      <c r="I11" s="19"/>
      <c r="J11" s="18"/>
      <c r="K11" s="18"/>
      <c r="L11" s="18"/>
    </row>
    <row r="12" spans="1:12" ht="39" customHeight="1" x14ac:dyDescent="0.45">
      <c r="A12" s="1"/>
      <c r="B12" s="9" t="s">
        <v>34</v>
      </c>
      <c r="C12" s="18"/>
      <c r="D12" s="18"/>
      <c r="E12" s="18"/>
      <c r="F12" s="18"/>
      <c r="G12" s="18"/>
      <c r="H12" s="18"/>
      <c r="I12" s="19"/>
      <c r="J12" s="18"/>
      <c r="K12" s="18"/>
      <c r="L12" s="18"/>
    </row>
    <row r="13" spans="1:12" ht="39" customHeight="1" x14ac:dyDescent="0.45">
      <c r="A13" s="1"/>
      <c r="B13" s="11" t="s">
        <v>37</v>
      </c>
      <c r="C13" s="18"/>
      <c r="D13" s="18"/>
      <c r="E13" s="18"/>
      <c r="F13" s="18"/>
      <c r="G13" s="18"/>
      <c r="H13" s="18"/>
      <c r="I13" s="19"/>
      <c r="J13" s="18"/>
      <c r="K13" s="18"/>
      <c r="L13" s="18"/>
    </row>
    <row r="14" spans="1:12" ht="39" customHeight="1" x14ac:dyDescent="0.45">
      <c r="A14" s="1"/>
      <c r="B14" s="9" t="s">
        <v>40</v>
      </c>
      <c r="C14" s="18"/>
      <c r="D14" s="18"/>
      <c r="E14" s="18"/>
      <c r="F14" s="18"/>
      <c r="G14" s="18"/>
      <c r="H14" s="18"/>
      <c r="I14" s="19"/>
      <c r="J14" s="18"/>
      <c r="K14" s="18"/>
      <c r="L14" s="18"/>
    </row>
    <row r="15" spans="1:12" ht="39" customHeight="1" x14ac:dyDescent="0.45">
      <c r="A15" s="1"/>
      <c r="B15" s="11" t="s">
        <v>43</v>
      </c>
      <c r="C15" s="18"/>
      <c r="D15" s="18"/>
      <c r="E15" s="18"/>
      <c r="F15" s="18"/>
      <c r="G15" s="18"/>
      <c r="H15" s="18"/>
      <c r="I15" s="19"/>
      <c r="J15" s="18"/>
      <c r="K15" s="18"/>
      <c r="L15" s="18"/>
    </row>
    <row r="16" spans="1:12" ht="39" customHeight="1" x14ac:dyDescent="0.45">
      <c r="A16" s="1"/>
      <c r="B16" s="9" t="s">
        <v>46</v>
      </c>
      <c r="C16" s="18"/>
      <c r="D16" s="18"/>
      <c r="E16" s="18"/>
      <c r="F16" s="18"/>
      <c r="G16" s="18"/>
      <c r="H16" s="18"/>
      <c r="I16" s="19"/>
      <c r="J16" s="18"/>
      <c r="K16" s="18"/>
      <c r="L16" s="18"/>
    </row>
    <row r="17" spans="1:12" ht="39" customHeight="1" x14ac:dyDescent="0.45">
      <c r="A17" s="1"/>
      <c r="B17" s="11" t="s">
        <v>49</v>
      </c>
      <c r="C17" s="18"/>
      <c r="D17" s="18"/>
      <c r="E17" s="18"/>
      <c r="F17" s="18"/>
      <c r="G17" s="18"/>
      <c r="H17" s="18"/>
      <c r="I17" s="19"/>
      <c r="J17" s="18"/>
      <c r="K17" s="18"/>
      <c r="L17" s="18"/>
    </row>
    <row r="18" spans="1:12" ht="39" customHeight="1" x14ac:dyDescent="0.45">
      <c r="A18" s="1"/>
      <c r="B18" s="9" t="s">
        <v>52</v>
      </c>
      <c r="C18" s="18"/>
      <c r="D18" s="18"/>
      <c r="E18" s="18"/>
      <c r="F18" s="18"/>
      <c r="G18" s="18"/>
      <c r="H18" s="18"/>
      <c r="I18" s="19"/>
      <c r="J18" s="18"/>
      <c r="K18" s="18"/>
      <c r="L18" s="18"/>
    </row>
    <row r="19" spans="1:12" ht="39" customHeight="1" x14ac:dyDescent="0.45">
      <c r="A19" s="1"/>
      <c r="B19" s="11" t="s">
        <v>55</v>
      </c>
      <c r="C19" s="18"/>
      <c r="D19" s="18"/>
      <c r="E19" s="18"/>
      <c r="F19" s="18"/>
      <c r="G19" s="18"/>
      <c r="H19" s="18"/>
      <c r="I19" s="19"/>
      <c r="J19" s="18"/>
      <c r="K19" s="18"/>
      <c r="L19" s="18"/>
    </row>
    <row r="20" spans="1:12" ht="39" customHeight="1" x14ac:dyDescent="0.45">
      <c r="A20" s="1"/>
      <c r="B20" s="9" t="s">
        <v>58</v>
      </c>
      <c r="C20" s="18"/>
      <c r="D20" s="18"/>
      <c r="E20" s="18"/>
      <c r="F20" s="18"/>
      <c r="G20" s="18"/>
      <c r="H20" s="18"/>
      <c r="I20" s="19"/>
      <c r="J20" s="18"/>
      <c r="K20" s="18"/>
      <c r="L20" s="18"/>
    </row>
    <row r="21" spans="1:12" ht="39" customHeight="1" x14ac:dyDescent="0.45">
      <c r="A21" s="1"/>
      <c r="B21" s="11" t="s">
        <v>61</v>
      </c>
      <c r="C21" s="18"/>
      <c r="D21" s="18"/>
      <c r="E21" s="18"/>
      <c r="F21" s="18"/>
      <c r="G21" s="18"/>
      <c r="H21" s="18"/>
      <c r="I21" s="19"/>
      <c r="J21" s="18"/>
      <c r="K21" s="18"/>
      <c r="L21" s="18"/>
    </row>
    <row r="22" spans="1:12" ht="39" customHeight="1" x14ac:dyDescent="0.45">
      <c r="A22" s="1"/>
      <c r="B22" s="9" t="s">
        <v>80</v>
      </c>
      <c r="C22" s="18"/>
      <c r="D22" s="18"/>
      <c r="E22" s="18"/>
      <c r="F22" s="18"/>
      <c r="G22" s="18"/>
      <c r="H22" s="18"/>
      <c r="I22" s="19"/>
      <c r="J22" s="18"/>
      <c r="K22" s="18"/>
      <c r="L22" s="18"/>
    </row>
    <row r="23" spans="1:12" ht="39" customHeight="1" x14ac:dyDescent="0.45">
      <c r="A23" s="1"/>
      <c r="B23" s="11" t="s">
        <v>81</v>
      </c>
      <c r="C23" s="18"/>
      <c r="D23" s="18"/>
      <c r="E23" s="18"/>
      <c r="F23" s="18"/>
      <c r="G23" s="18"/>
      <c r="H23" s="18"/>
      <c r="I23" s="19"/>
      <c r="J23" s="18"/>
      <c r="K23" s="18"/>
      <c r="L23" s="18"/>
    </row>
    <row r="24" spans="1:12" ht="39" customHeight="1" x14ac:dyDescent="0.45">
      <c r="A24" s="1"/>
      <c r="B24" s="9" t="s">
        <v>82</v>
      </c>
      <c r="C24" s="18"/>
      <c r="D24" s="18"/>
      <c r="E24" s="18"/>
      <c r="F24" s="18"/>
      <c r="G24" s="18"/>
      <c r="H24" s="18"/>
      <c r="I24" s="19"/>
      <c r="J24" s="18"/>
      <c r="K24" s="18"/>
      <c r="L24" s="18"/>
    </row>
    <row r="25" spans="1:12" ht="39" customHeight="1" x14ac:dyDescent="0.45">
      <c r="A25" s="1"/>
      <c r="B25" s="11" t="s">
        <v>83</v>
      </c>
      <c r="C25" s="18"/>
      <c r="D25" s="18"/>
      <c r="E25" s="18"/>
      <c r="F25" s="18"/>
      <c r="G25" s="18"/>
      <c r="H25" s="18"/>
      <c r="I25" s="19"/>
      <c r="J25" s="18"/>
      <c r="K25" s="18"/>
      <c r="L25" s="18"/>
    </row>
    <row r="26" spans="1:12" ht="39" customHeight="1" x14ac:dyDescent="0.45">
      <c r="A26" s="1"/>
      <c r="B26" s="9" t="s">
        <v>84</v>
      </c>
      <c r="C26" s="18"/>
      <c r="D26" s="18"/>
      <c r="E26" s="18"/>
      <c r="F26" s="18"/>
      <c r="G26" s="18"/>
      <c r="H26" s="18"/>
      <c r="I26" s="19"/>
      <c r="J26" s="18"/>
      <c r="K26" s="18"/>
      <c r="L26" s="18"/>
    </row>
    <row r="27" spans="1:12" ht="39" customHeight="1" x14ac:dyDescent="0.45">
      <c r="A27" s="1"/>
      <c r="B27" s="11" t="s">
        <v>85</v>
      </c>
      <c r="C27" s="18"/>
      <c r="D27" s="18"/>
      <c r="E27" s="18"/>
      <c r="F27" s="18"/>
      <c r="G27" s="18"/>
      <c r="H27" s="18"/>
      <c r="I27" s="19"/>
      <c r="J27" s="18"/>
      <c r="K27" s="18"/>
      <c r="L27" s="18"/>
    </row>
    <row r="28" spans="1:12" ht="39" customHeight="1" x14ac:dyDescent="0.45">
      <c r="A28" s="1"/>
      <c r="B28" s="9" t="s">
        <v>86</v>
      </c>
      <c r="C28" s="18"/>
      <c r="D28" s="18"/>
      <c r="E28" s="18"/>
      <c r="F28" s="18"/>
      <c r="G28" s="18"/>
      <c r="H28" s="18"/>
      <c r="I28" s="19"/>
      <c r="J28" s="18"/>
      <c r="K28" s="18"/>
      <c r="L28" s="18"/>
    </row>
    <row r="29" spans="1:12" ht="39" customHeight="1" x14ac:dyDescent="0.45">
      <c r="A29" s="1"/>
      <c r="B29" s="11" t="s">
        <v>87</v>
      </c>
      <c r="C29" s="18"/>
      <c r="D29" s="18"/>
      <c r="E29" s="18"/>
      <c r="F29" s="18"/>
      <c r="G29" s="18"/>
      <c r="H29" s="18"/>
      <c r="I29" s="19"/>
      <c r="J29" s="18"/>
      <c r="K29" s="18"/>
      <c r="L29" s="18"/>
    </row>
    <row r="30" spans="1:12" ht="39" customHeight="1" x14ac:dyDescent="0.45">
      <c r="A30" s="1"/>
      <c r="B30" s="9" t="s">
        <v>88</v>
      </c>
      <c r="C30" s="18"/>
      <c r="D30" s="18"/>
      <c r="E30" s="18"/>
      <c r="F30" s="18"/>
      <c r="G30" s="18"/>
      <c r="H30" s="18"/>
      <c r="I30" s="19"/>
      <c r="J30" s="18"/>
      <c r="K30" s="18"/>
      <c r="L30" s="18"/>
    </row>
    <row r="31" spans="1:12" ht="39" customHeight="1" x14ac:dyDescent="0.45">
      <c r="A31" s="1"/>
      <c r="B31" s="11" t="s">
        <v>89</v>
      </c>
      <c r="C31" s="18"/>
      <c r="D31" s="18"/>
      <c r="E31" s="18"/>
      <c r="F31" s="18"/>
      <c r="G31" s="18"/>
      <c r="H31" s="18"/>
      <c r="I31" s="19"/>
      <c r="J31" s="18"/>
      <c r="K31" s="18"/>
      <c r="L31" s="18"/>
    </row>
    <row r="32" spans="1:12" ht="39" customHeight="1" x14ac:dyDescent="0.45">
      <c r="A32" s="1"/>
      <c r="B32" s="9" t="s">
        <v>90</v>
      </c>
      <c r="C32" s="18"/>
      <c r="D32" s="18"/>
      <c r="E32" s="18"/>
      <c r="F32" s="18"/>
      <c r="G32" s="18"/>
      <c r="H32" s="18"/>
      <c r="I32" s="19"/>
      <c r="J32" s="18"/>
      <c r="K32" s="18"/>
      <c r="L32" s="18"/>
    </row>
    <row r="33" spans="1:12" ht="39" customHeight="1" x14ac:dyDescent="0.45">
      <c r="A33" s="1"/>
      <c r="B33" s="11" t="s">
        <v>91</v>
      </c>
      <c r="C33" s="18"/>
      <c r="D33" s="18"/>
      <c r="E33" s="18"/>
      <c r="F33" s="18"/>
      <c r="G33" s="18"/>
      <c r="H33" s="18"/>
      <c r="I33" s="19"/>
      <c r="J33" s="18"/>
      <c r="K33" s="18"/>
      <c r="L33" s="18"/>
    </row>
    <row r="34" spans="1:12" ht="25.05" customHeigh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5.05" customHeight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25.05" customHeigh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25.05" customHeight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5.05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conditionalFormatting sqref="J10:J33">
    <cfRule type="containsText" dxfId="1" priority="1" operator="containsText" text="Gravado"/>
    <cfRule type="containsText" dxfId="0" priority="2" operator="containsText" text="Refazer"/>
  </conditionalFormatting>
  <dataValidations count="3">
    <dataValidation type="list" sqref="J10:J33" xr:uid="{00000000-0002-0000-0100-000000000000}">
      <formula1>"Planejado,Gravado,Refazer,Dispensado"</formula1>
    </dataValidation>
    <dataValidation type="list" sqref="E10:E33" xr:uid="{00000000-0002-0000-0100-000001000000}">
      <formula1>"Geral,Conjunto,Médio,Americano,Primeiro plano,Detalhe"</formula1>
    </dataValidation>
    <dataValidation type="whole" sqref="I10:I33" xr:uid="{00000000-0002-0000-0100-000002000000}">
      <formula1>0</formula1>
      <formula2>36000</formula2>
    </dataValidation>
  </dataValidations>
  <printOptions horizontalCentered="1"/>
  <pageMargins left="0.25" right="0.25" top="0.34722222222222221" bottom="0.34722222222222221" header="0.3" footer="0.3"/>
  <pageSetup paperSize="8" scale="56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Cronograma</vt:lpstr>
      <vt:lpstr>Planos de captação</vt:lpstr>
      <vt:lpstr>Cronograma!Area_de_impressao</vt:lpstr>
      <vt:lpstr>'Planos de captação'!Area_de_impressao</vt:lpstr>
      <vt:lpstr>Cronograma!Titulos_de_impressao</vt:lpstr>
      <vt:lpstr>'Planos de captação'!Titulos_de_impressao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Juliano Motta</cp:lastModifiedBy>
  <dcterms:modified xsi:type="dcterms:W3CDTF">2026-09-09T13:55:39Z</dcterms:modified>
</cp:coreProperties>
</file>